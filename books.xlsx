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holis\Desktop\reading-tracker-v2\"/>
    </mc:Choice>
  </mc:AlternateContent>
  <xr:revisionPtr revIDLastSave="0" documentId="13_ncr:1_{D2D06F30-A4BA-4A9C-9C7E-714572E0C76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Лист1" sheetId="1" r:id="rId1"/>
    <sheet name="Лист2" sheetId="2" r:id="rId2"/>
  </sheets>
  <definedNames>
    <definedName name="_xlnm._FilterDatabase" localSheetId="0" hidden="1">Лист1!$A$1:$M$1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2" i="1" l="1"/>
  <c r="K8" i="1"/>
  <c r="K7" i="1"/>
  <c r="K66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5" i="1"/>
  <c r="K49" i="1"/>
  <c r="K40" i="1"/>
  <c r="K58" i="1"/>
  <c r="K2" i="1"/>
  <c r="K77" i="1"/>
  <c r="K55" i="1"/>
  <c r="K56" i="1"/>
  <c r="K32" i="1"/>
  <c r="K27" i="1"/>
  <c r="K50" i="1"/>
  <c r="K47" i="1"/>
  <c r="K45" i="1"/>
  <c r="K63" i="1"/>
  <c r="K76" i="1"/>
  <c r="K57" i="1"/>
  <c r="K43" i="1"/>
  <c r="K17" i="1"/>
  <c r="K72" i="1"/>
  <c r="K39" i="1"/>
  <c r="K67" i="1"/>
  <c r="K41" i="1"/>
  <c r="K23" i="1"/>
  <c r="K70" i="1"/>
  <c r="K71" i="1"/>
  <c r="K44" i="1"/>
  <c r="K20" i="1"/>
  <c r="K29" i="1"/>
  <c r="K30" i="1"/>
  <c r="K28" i="1"/>
  <c r="K3" i="1"/>
  <c r="K69" i="1"/>
  <c r="K73" i="1"/>
  <c r="K62" i="1"/>
  <c r="K59" i="1"/>
  <c r="K15" i="1"/>
  <c r="K36" i="1"/>
  <c r="K35" i="1"/>
  <c r="K60" i="1"/>
  <c r="K26" i="1"/>
  <c r="K16" i="1"/>
  <c r="K46" i="1"/>
  <c r="K9" i="1"/>
  <c r="K61" i="1"/>
  <c r="K10" i="1"/>
  <c r="K11" i="1"/>
  <c r="K12" i="1"/>
  <c r="K22" i="1"/>
  <c r="K34" i="1"/>
  <c r="K31" i="1"/>
  <c r="K51" i="1"/>
  <c r="K74" i="1"/>
  <c r="K48" i="1"/>
  <c r="K13" i="1"/>
  <c r="K78" i="1"/>
  <c r="K19" i="1"/>
  <c r="K21" i="1"/>
  <c r="K18" i="1"/>
  <c r="K64" i="1"/>
  <c r="K65" i="1"/>
  <c r="K33" i="1"/>
  <c r="K52" i="1"/>
  <c r="K53" i="1"/>
  <c r="K54" i="1"/>
  <c r="K14" i="1"/>
  <c r="K6" i="1"/>
  <c r="K4" i="1"/>
  <c r="K38" i="1"/>
  <c r="K75" i="1"/>
  <c r="K68" i="1"/>
</calcChain>
</file>

<file path=xl/sharedStrings.xml><?xml version="1.0" encoding="utf-8"?>
<sst xmlns="http://schemas.openxmlformats.org/spreadsheetml/2006/main" count="441" uniqueCount="193">
  <si>
    <t>Название</t>
  </si>
  <si>
    <t>Автор</t>
  </si>
  <si>
    <t>Статус</t>
  </si>
  <si>
    <t>Страниц</t>
  </si>
  <si>
    <t>Прочитано</t>
  </si>
  <si>
    <t>Начало</t>
  </si>
  <si>
    <t>Конец</t>
  </si>
  <si>
    <t>Оценка</t>
  </si>
  <si>
    <t>Серия</t>
  </si>
  <si>
    <t>Формат</t>
  </si>
  <si>
    <t>Книга</t>
  </si>
  <si>
    <t>Аудиокнига</t>
  </si>
  <si>
    <t>Комикс</t>
  </si>
  <si>
    <t>К прочтению</t>
  </si>
  <si>
    <t>Чтение</t>
  </si>
  <si>
    <t>Я все прочитал!</t>
  </si>
  <si>
    <t>Пауза</t>
  </si>
  <si>
    <t>Бросил читать</t>
  </si>
  <si>
    <t>Здесь была Брит-Мари</t>
  </si>
  <si>
    <t>Месть женщины среднего возраста</t>
  </si>
  <si>
    <t>Элизабет Бушан</t>
  </si>
  <si>
    <t>Тревожные люди</t>
  </si>
  <si>
    <t>Бакман Фредрик</t>
  </si>
  <si>
    <t>Четыре тысячи недель на всё: Меньше планов - больше жизни</t>
  </si>
  <si>
    <t>Оливер Беркман</t>
  </si>
  <si>
    <t>Здесь, сейчас и тогда</t>
  </si>
  <si>
    <t>Майк Чен</t>
  </si>
  <si>
    <t>Дорогуша</t>
  </si>
  <si>
    <t>Си Джей Скьюз</t>
  </si>
  <si>
    <t>Атлант расправил плечи</t>
  </si>
  <si>
    <t>Айн Рэнд</t>
  </si>
  <si>
    <t>Эмма Клайн</t>
  </si>
  <si>
    <t>Человек-комбини</t>
  </si>
  <si>
    <t>Саяка Мурата</t>
  </si>
  <si>
    <t>Земляноиды</t>
  </si>
  <si>
    <t>Гончие Лилит</t>
  </si>
  <si>
    <t>Кристина Старк</t>
  </si>
  <si>
    <t>Ешь, пей, спи</t>
  </si>
  <si>
    <t>Ким Ын Сук</t>
  </si>
  <si>
    <t>Однажды я стала принцессой. Том 1. Манхва</t>
  </si>
  <si>
    <t>Лгунья</t>
  </si>
  <si>
    <t>Натали Барелли</t>
  </si>
  <si>
    <t>Тринадцать способов убить Лалабелль Рок</t>
  </si>
  <si>
    <t>Мод Вулф</t>
  </si>
  <si>
    <t>Рассвет Жатвы</t>
  </si>
  <si>
    <t>Сьюзен Коллинз</t>
  </si>
  <si>
    <t>Моя соседка фрау Морман</t>
  </si>
  <si>
    <t>Эльке Хайденрайх</t>
  </si>
  <si>
    <t>Церемония жизни</t>
  </si>
  <si>
    <t>Ментальные привычки критически мыслящего человека</t>
  </si>
  <si>
    <t>Максим Киселев</t>
  </si>
  <si>
    <t>Птичий короб</t>
  </si>
  <si>
    <t>Джош Малерман</t>
  </si>
  <si>
    <t>Вторая сестра</t>
  </si>
  <si>
    <t>Хо-Кей Чан</t>
  </si>
  <si>
    <t>Убийства во Флит-хаусе</t>
  </si>
  <si>
    <t>Люсинда Райли</t>
  </si>
  <si>
    <t>Шмуц</t>
  </si>
  <si>
    <t>Фелиция Берлинер</t>
  </si>
  <si>
    <t>Как справляться с трудными ситуациями: Стресс, тревога, перемены, кризис, проблемы в отношениях</t>
  </si>
  <si>
    <t>Майк Эннесли</t>
  </si>
  <si>
    <t>Безумно богатые азиаты</t>
  </si>
  <si>
    <t>Кевин Кван</t>
  </si>
  <si>
    <t>Фрекен Мод задумала что-то недоброе</t>
  </si>
  <si>
    <t>Хелена Турстен</t>
  </si>
  <si>
    <t>Фрекен Мод просила ее не беспокоить</t>
  </si>
  <si>
    <t>Как разговаривать с мудаками. Что делать с неадекватными и невыносимыми людьми. NEON Pocketbooks</t>
  </si>
  <si>
    <t>Марк Гоулстон</t>
  </si>
  <si>
    <t>Когда нет сил. Действенные рекомендации врача от надоевшей усталости</t>
  </si>
  <si>
    <t>Екатерина Корсева</t>
  </si>
  <si>
    <t>Чернильная кровь</t>
  </si>
  <si>
    <t>Чернильная смерть</t>
  </si>
  <si>
    <t>Цвет мести</t>
  </si>
  <si>
    <t>Корнелия Функе</t>
  </si>
  <si>
    <t>Дом девушек</t>
  </si>
  <si>
    <t>Андреас Винкельманн</t>
  </si>
  <si>
    <t>Милое дитя</t>
  </si>
  <si>
    <t>Хаусманн Роми</t>
  </si>
  <si>
    <t>Немая улика</t>
  </si>
  <si>
    <t>Цинь Мин</t>
  </si>
  <si>
    <t>Когда поют цикады</t>
  </si>
  <si>
    <t>Стивен Амидон</t>
  </si>
  <si>
    <t>Дорогуша: Рассвет</t>
  </si>
  <si>
    <t>Верь мне</t>
  </si>
  <si>
    <t>Дж. П. Делейни</t>
  </si>
  <si>
    <t>Странная Салли Даймонд</t>
  </si>
  <si>
    <t>Ли Чханён</t>
  </si>
  <si>
    <t>Судный день</t>
  </si>
  <si>
    <t>Стив Кавана</t>
  </si>
  <si>
    <t>Обед, согревающий душу</t>
  </si>
  <si>
    <t>Ким Чжи Юн</t>
  </si>
  <si>
    <t>Синие бабочки</t>
  </si>
  <si>
    <t>Джек Тодд</t>
  </si>
  <si>
    <t>Люблю тебя, мама. Мои родители - маньяки Фред и Розмари Уэст</t>
  </si>
  <si>
    <t>Мэй Уэст</t>
  </si>
  <si>
    <t>Моё пост-имаго</t>
  </si>
  <si>
    <t>Владимир Торин</t>
  </si>
  <si>
    <t>Пятьдесят на пятьдесят</t>
  </si>
  <si>
    <t>О носах и замках</t>
  </si>
  <si>
    <t>Тайна дома №12 на улице Флоретт</t>
  </si>
  <si>
    <t>Птицы</t>
  </si>
  <si>
    <t>Тринадцать</t>
  </si>
  <si>
    <t>Кавана Стив</t>
  </si>
  <si>
    <t>Мое убийство</t>
  </si>
  <si>
    <t>Кэти Уильямс</t>
  </si>
  <si>
    <t>Руководство королевы красоты по убийствам</t>
  </si>
  <si>
    <t>Кристен Бёрд</t>
  </si>
  <si>
    <t>Ресторан 06:06:06</t>
  </si>
  <si>
    <t>Пом Ю Джин</t>
  </si>
  <si>
    <t>Фотостудия «Радуга»</t>
  </si>
  <si>
    <t>Чжэхи Ким</t>
  </si>
  <si>
    <t>Комната лжи</t>
  </si>
  <si>
    <t>Никки Френч</t>
  </si>
  <si>
    <t>Игра Данте</t>
  </si>
  <si>
    <t>Владислав Луговский</t>
  </si>
  <si>
    <t>Препараторы. Зов ястреба</t>
  </si>
  <si>
    <t>Яна Летт</t>
  </si>
  <si>
    <t>Дом лжи</t>
  </si>
  <si>
    <t>Поезд убийц</t>
  </si>
  <si>
    <t>Исака Котаро</t>
  </si>
  <si>
    <t>Мэлори</t>
  </si>
  <si>
    <t>Голос Вессема</t>
  </si>
  <si>
    <t>Теа Сандет</t>
  </si>
  <si>
    <t>Голос Вессема. Радиомолчание</t>
  </si>
  <si>
    <t>Стигмалион</t>
  </si>
  <si>
    <t>Ребекка Яррос</t>
  </si>
  <si>
    <t>Железное пламя</t>
  </si>
  <si>
    <t>Выход 8. Одно решение может изменить все</t>
  </si>
  <si>
    <t>Каждый в нашей семье кого-нибудь да убил</t>
  </si>
  <si>
    <t>Бенджамин Стивенсон</t>
  </si>
  <si>
    <t>Сожженные земли. Лишний</t>
  </si>
  <si>
    <t>Анна Щучкина</t>
  </si>
  <si>
    <t>Лэй Ми</t>
  </si>
  <si>
    <t>5.0</t>
  </si>
  <si>
    <t>1.5</t>
  </si>
  <si>
    <t>4.5</t>
  </si>
  <si>
    <t>3.0</t>
  </si>
  <si>
    <t>2.5</t>
  </si>
  <si>
    <t>2.0</t>
  </si>
  <si>
    <t>3.5</t>
  </si>
  <si>
    <t>0.0</t>
  </si>
  <si>
    <t>4.0</t>
  </si>
  <si>
    <t>0.5</t>
  </si>
  <si>
    <t>1.0</t>
  </si>
  <si>
    <t>Общее время прочтения</t>
  </si>
  <si>
    <t>Плутос</t>
  </si>
  <si>
    <t>Книга в серии</t>
  </si>
  <si>
    <t>Гостья</t>
  </si>
  <si>
    <t>Однажды я стала принцессой</t>
  </si>
  <si>
    <t>Голодные игры</t>
  </si>
  <si>
    <t>Фрекен Мод</t>
  </si>
  <si>
    <t>Чернильный мир</t>
  </si>
  <si>
    <t>Убить Кролика Питера</t>
  </si>
  <si>
    <t>Эдди Флинн</t>
  </si>
  <si>
    <t>Препараторы</t>
  </si>
  <si>
    <t>Убийцы</t>
  </si>
  <si>
    <t>Четвертое крыло</t>
  </si>
  <si>
    <t>Эмпирей</t>
  </si>
  <si>
    <t>Ониксовый шторм</t>
  </si>
  <si>
    <t>Эрнест Каннингем</t>
  </si>
  <si>
    <t>Сожженные земли</t>
  </si>
  <si>
    <t>Профайлер</t>
  </si>
  <si>
    <t>Безумно богатая китайская девушка</t>
  </si>
  <si>
    <t>Проблемы безумно богатых азиатов</t>
  </si>
  <si>
    <t>Седьмой читатель</t>
  </si>
  <si>
    <t>Возьми меня за руку</t>
  </si>
  <si>
    <t>Майкл Джеймс Форд</t>
  </si>
  <si>
    <t>Собор Парижской Богоматери</t>
  </si>
  <si>
    <t>Виктор Гюго</t>
  </si>
  <si>
    <t>Желтый уровень опасности</t>
  </si>
  <si>
    <t>Брит Бильдёэн</t>
  </si>
  <si>
    <t>Сад твоей лжи</t>
  </si>
  <si>
    <t>Лиз Ньюджент</t>
  </si>
  <si>
    <t>Томоюки Сираи</t>
  </si>
  <si>
    <t>Бог в запертой комнате</t>
  </si>
  <si>
    <t>Мир из прорех</t>
  </si>
  <si>
    <t>Мир из прорех: Новые правила</t>
  </si>
  <si>
    <t>Мир из прорех: Другой город</t>
  </si>
  <si>
    <t>Мир из прорех: Иные земли</t>
  </si>
  <si>
    <t>Обложка</t>
  </si>
  <si>
    <t>https://avatars.mds.yandex.net/get-mpic/12529549/2a0000019bde747d32295a66f006562c75ca/orig</t>
  </si>
  <si>
    <t>https://avatars.mds.yandex.net/i?id=5aa610f2eb6666cdb78fd86bbf272889_l-9213890-images-thumbs&amp;n=13</t>
  </si>
  <si>
    <t>Дэвид Эллис</t>
  </si>
  <si>
    <t>Фредрик Бакман</t>
  </si>
  <si>
    <t>Гэнки Кавамура</t>
  </si>
  <si>
    <t>https://cdn.eksmo.ru/v2/ITDA00000000066075/COVER/cover1__w600.jpg</t>
  </si>
  <si>
    <t>https://avatars.mds.yandex.net/i?id=d3226f4b51e2538368f152b842b34535_l-9871403-images-thumbs&amp;n=13</t>
  </si>
  <si>
    <t>Непротиворечие</t>
  </si>
  <si>
    <t>https://avatars.mds.yandex.net/get-mpic/19197102/2a0000019f79e6462e1c35e48a3ca77af98b/orig</t>
  </si>
  <si>
    <t>https://avatars.mds.yandex.net/i?id=0b991fb7cc231ac3c20e757b250befd0_l-5884402-images-thumbs&amp;n=13</t>
  </si>
  <si>
    <t>https://avatars.mds.yandex.net/i?id=5a3d366fd658ea3aa238b10a22212fae2cbf2420-4236663-images-thumbs&amp;n=13</t>
  </si>
  <si>
    <t>https://i.ytimg.com/vi/7lyMFCUmvhA/maxresdefault.jpg?sqp=-oaymwEmCIAKENAF8quKqQMa8AEB-AHUBoAC4AOKAgwIABABGH8gWigbMA8=&amp;amp;rs=AOn4CLCg0BEzjnSeFauZJLuP_QouzwZhmw</t>
  </si>
  <si>
    <t>https://avatars.mds.yandex.net/i?id=4e7999b3cee35c85142dc046879c4eae54966002-4863363-images-thumbs&amp;n=13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</si>
</sst>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2" fontId="0" fillId="0" borderId="0" xfId="0" applyNumberFormat="1" applyAlignment="1">
      <alignment horizontal="left" vertical="top"/>
    </xf>
    <xf numFmtId="1" fontId="0" fillId="0" borderId="0" xfId="0" applyNumberFormat="1" applyAlignment="1">
      <alignment horizontal="left" vertical="top"/>
    </xf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 vertical="center"/>
    </xf>
    <xf numFmtId="0" fontId="2" fillId="0" borderId="0" xfId="1"/>
  </cellXfs>
  <cellStyles count="2">
    <cellStyle name="Гиперссылка" xfId="1" builtinId="8"/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i.ytimg.com/vi/7lyMFCUmvhA/maxresdefault.jpg?sqp=-oaymwEmCIAKENAF8quKqQMa8AEB-AHUBoAC4AOKAgwIABABGH8gWigbMA8=&amp;amp;rs=AOn4CLCg0BEzjnSeFauZJLuP_QouzwZhmw" TargetMode="External"/><Relationship Id="rId3" Type="http://schemas.openxmlformats.org/officeDocument/2006/relationships/hyperlink" Target="https://cdn.eksmo.ru/v2/ITDA00000000066075/COVER/cover1__w600.jpg" TargetMode="External"/><Relationship Id="rId7" Type="http://schemas.openxmlformats.org/officeDocument/2006/relationships/hyperlink" Target="https://avatars.mds.yandex.net/i?id=5a3d366fd658ea3aa238b10a22212fae2cbf2420-4236663-images-thumbs&amp;n=13" TargetMode="External"/><Relationship Id="rId2" Type="http://schemas.openxmlformats.org/officeDocument/2006/relationships/hyperlink" Target="https://avatars.mds.yandex.net/i?id=5aa610f2eb6666cdb78fd86bbf272889_l-9213890-images-thumbs&amp;n=13" TargetMode="External"/><Relationship Id="rId1" Type="http://schemas.openxmlformats.org/officeDocument/2006/relationships/hyperlink" Target="https://avatars.mds.yandex.net/get-mpic/12529549/2a0000019bde747d32295a66f006562c75ca/orig" TargetMode="External"/><Relationship Id="rId6" Type="http://schemas.openxmlformats.org/officeDocument/2006/relationships/hyperlink" Target="https://avatars.mds.yandex.net/i?id=0b991fb7cc231ac3c20e757b250befd0_l-5884402-images-thumbs&amp;n=13" TargetMode="External"/><Relationship Id="rId5" Type="http://schemas.openxmlformats.org/officeDocument/2006/relationships/hyperlink" Target="https://avatars.mds.yandex.net/get-mpic/19197102/2a0000019f79e6462e1c35e48a3ca77af98b/orig" TargetMode="External"/><Relationship Id="rId4" Type="http://schemas.openxmlformats.org/officeDocument/2006/relationships/hyperlink" Target="https://avatars.mds.yandex.net/i?id=d3226f4b51e2538368f152b842b34535_l-9871403-images-thumbs&amp;n=13" TargetMode="External"/><Relationship Id="rId9" Type="http://schemas.openxmlformats.org/officeDocument/2006/relationships/hyperlink" Target="https://avatars.mds.yandex.net/i?id=4e7999b3cee35c85142dc046879c4eae54966002-4863363-images-thumbs&amp;n=1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7"/>
  <sheetViews>
    <sheetView tabSelected="1" workbookViewId="0">
      <pane ySplit="1" topLeftCell="A2" activePane="bottomLeft" state="frozen"/>
      <selection pane="bottomLeft" activeCell="G11" sqref="G11"/>
    </sheetView>
  </sheetViews>
  <sheetFormatPr defaultRowHeight="14.4" x14ac:dyDescent="0.3"/>
  <cols>
    <col min="1" max="1" width="32.21875" style="4" customWidth="1"/>
    <col min="2" max="2" width="21.109375" style="5" bestFit="1" customWidth="1"/>
    <col min="3" max="3" width="19.33203125" style="4" customWidth="1"/>
    <col min="4" max="4" width="19.33203125" style="5" customWidth="1"/>
    <col min="5" max="5" width="14.5546875" style="5" bestFit="1" customWidth="1"/>
    <col min="6" max="6" width="11.109375" style="5" bestFit="1" customWidth="1"/>
    <col min="7" max="7" width="8.21875" style="5" bestFit="1" customWidth="1"/>
    <col min="8" max="8" width="10.33203125" style="5" bestFit="1" customWidth="1"/>
    <col min="9" max="10" width="10.109375" style="6" bestFit="1" customWidth="1"/>
    <col min="11" max="11" width="22.44140625" style="5" bestFit="1" customWidth="1"/>
    <col min="12" max="12" width="8.88671875" style="7"/>
  </cols>
  <sheetData>
    <row r="1" spans="1:13" x14ac:dyDescent="0.3">
      <c r="A1" s="1" t="s">
        <v>0</v>
      </c>
      <c r="B1" s="2" t="s">
        <v>1</v>
      </c>
      <c r="C1" s="1" t="s">
        <v>8</v>
      </c>
      <c r="D1" s="2" t="s">
        <v>146</v>
      </c>
      <c r="E1" s="2" t="s">
        <v>2</v>
      </c>
      <c r="F1" s="2" t="s">
        <v>9</v>
      </c>
      <c r="G1" s="2" t="s">
        <v>3</v>
      </c>
      <c r="H1" s="2" t="s">
        <v>4</v>
      </c>
      <c r="I1" s="3" t="s">
        <v>5</v>
      </c>
      <c r="J1" s="3" t="s">
        <v>6</v>
      </c>
      <c r="K1" s="2" t="s">
        <v>144</v>
      </c>
      <c r="L1" s="10" t="s">
        <v>7</v>
      </c>
      <c r="M1" s="10" t="s">
        <v>179</v>
      </c>
    </row>
    <row r="2" spans="1:13" ht="28.8" x14ac:dyDescent="0.3">
      <c r="A2" s="4" t="s">
        <v>187</v>
      </c>
      <c r="B2" s="5" t="s">
        <v>30</v>
      </c>
      <c r="C2" s="4" t="s">
        <v>29</v>
      </c>
      <c r="D2" s="5">
        <v>1</v>
      </c>
      <c r="E2" s="5" t="s">
        <v>17</v>
      </c>
      <c r="F2" s="5" t="s">
        <v>11</v>
      </c>
      <c r="I2" s="6">
        <v>45845</v>
      </c>
      <c r="J2" s="6">
        <v>45845</v>
      </c>
      <c r="K2" s="8">
        <f t="shared" ref="K2:K23" si="0">IF(OR(I2="",J2=""),"",MAX(1,J2-I2))</f>
        <v>1</v>
      </c>
      <c r="L2" s="7" t="s">
        <v>136</v>
      </c>
      <c r="M2" s="11" t="s">
        <v>188</v>
      </c>
    </row>
    <row r="3" spans="1:13" x14ac:dyDescent="0.3">
      <c r="A3" s="4" t="s">
        <v>74</v>
      </c>
      <c r="B3" s="5" t="s">
        <v>75</v>
      </c>
      <c r="E3" s="5" t="s">
        <v>15</v>
      </c>
      <c r="F3" s="5" t="s">
        <v>11</v>
      </c>
      <c r="I3" s="6">
        <v>46022</v>
      </c>
      <c r="J3" s="6">
        <v>46030</v>
      </c>
      <c r="K3" s="8">
        <f t="shared" si="0"/>
        <v>8</v>
      </c>
      <c r="L3" s="7" t="s">
        <v>139</v>
      </c>
      <c r="M3" s="11" t="s">
        <v>189</v>
      </c>
    </row>
    <row r="4" spans="1:13" x14ac:dyDescent="0.3">
      <c r="A4" s="4" t="s">
        <v>130</v>
      </c>
      <c r="B4" s="5" t="s">
        <v>131</v>
      </c>
      <c r="C4" s="4" t="s">
        <v>160</v>
      </c>
      <c r="D4" s="5">
        <v>1</v>
      </c>
      <c r="E4" s="5" t="s">
        <v>17</v>
      </c>
      <c r="F4" s="5" t="s">
        <v>11</v>
      </c>
      <c r="I4" s="6">
        <v>46248</v>
      </c>
      <c r="J4" s="6">
        <v>46249</v>
      </c>
      <c r="K4" s="8">
        <f t="shared" si="0"/>
        <v>1</v>
      </c>
      <c r="L4" s="7" t="s">
        <v>142</v>
      </c>
      <c r="M4" s="11" t="s">
        <v>190</v>
      </c>
    </row>
    <row r="5" spans="1:13" x14ac:dyDescent="0.3">
      <c r="A5" s="4" t="s">
        <v>21</v>
      </c>
      <c r="B5" s="5" t="s">
        <v>22</v>
      </c>
      <c r="E5" s="5" t="s">
        <v>13</v>
      </c>
      <c r="F5" s="5" t="s">
        <v>11</v>
      </c>
      <c r="K5" s="8" t="str">
        <f t="shared" si="0"/>
        <v/>
      </c>
      <c r="M5" s="11" t="s">
        <v>191</v>
      </c>
    </row>
    <row r="6" spans="1:13" ht="28.8" x14ac:dyDescent="0.3">
      <c r="A6" s="4" t="s">
        <v>128</v>
      </c>
      <c r="B6" s="5" t="s">
        <v>129</v>
      </c>
      <c r="C6" s="4" t="s">
        <v>159</v>
      </c>
      <c r="D6" s="5">
        <v>1</v>
      </c>
      <c r="E6" s="5" t="s">
        <v>17</v>
      </c>
      <c r="F6" s="5" t="s">
        <v>11</v>
      </c>
      <c r="I6" s="6">
        <v>46248</v>
      </c>
      <c r="J6" s="6">
        <v>46249</v>
      </c>
      <c r="K6" s="8">
        <f t="shared" si="0"/>
        <v>1</v>
      </c>
      <c r="L6" s="7" t="s">
        <v>143</v>
      </c>
      <c r="M6" s="11" t="s">
        <v>192</v>
      </c>
    </row>
    <row r="7" spans="1:13" x14ac:dyDescent="0.3">
      <c r="A7" s="4" t="s">
        <v>169</v>
      </c>
      <c r="B7" s="5" t="s">
        <v>170</v>
      </c>
      <c r="E7" s="5" t="s">
        <v>13</v>
      </c>
      <c r="F7" s="5" t="s">
        <v>11</v>
      </c>
      <c r="K7" s="8" t="str">
        <f t="shared" si="0"/>
        <v/>
      </c>
    </row>
    <row r="8" spans="1:13" x14ac:dyDescent="0.3">
      <c r="A8" s="4" t="s">
        <v>167</v>
      </c>
      <c r="B8" s="5" t="s">
        <v>168</v>
      </c>
      <c r="E8" s="5" t="s">
        <v>13</v>
      </c>
      <c r="F8" s="5" t="s">
        <v>12</v>
      </c>
      <c r="K8" s="8" t="str">
        <f t="shared" si="0"/>
        <v/>
      </c>
    </row>
    <row r="9" spans="1:13" x14ac:dyDescent="0.3">
      <c r="A9" s="4" t="s">
        <v>95</v>
      </c>
      <c r="B9" s="5" t="s">
        <v>96</v>
      </c>
      <c r="E9" s="5" t="s">
        <v>15</v>
      </c>
      <c r="F9" s="5" t="s">
        <v>11</v>
      </c>
      <c r="I9" s="6">
        <v>46080</v>
      </c>
      <c r="J9" s="6">
        <v>46091</v>
      </c>
      <c r="K9" s="8">
        <f t="shared" si="0"/>
        <v>11</v>
      </c>
      <c r="L9" s="7" t="s">
        <v>133</v>
      </c>
    </row>
    <row r="10" spans="1:13" x14ac:dyDescent="0.3">
      <c r="A10" s="4" t="s">
        <v>98</v>
      </c>
      <c r="B10" s="5" t="s">
        <v>96</v>
      </c>
      <c r="E10" s="5" t="s">
        <v>15</v>
      </c>
      <c r="F10" s="5" t="s">
        <v>11</v>
      </c>
      <c r="I10" s="6">
        <v>46089</v>
      </c>
      <c r="J10" s="6">
        <v>46101</v>
      </c>
      <c r="K10" s="8">
        <f t="shared" si="0"/>
        <v>12</v>
      </c>
      <c r="L10" s="7" t="s">
        <v>133</v>
      </c>
    </row>
    <row r="11" spans="1:13" x14ac:dyDescent="0.3">
      <c r="A11" s="4" t="s">
        <v>99</v>
      </c>
      <c r="B11" s="5" t="s">
        <v>96</v>
      </c>
      <c r="E11" s="5" t="s">
        <v>15</v>
      </c>
      <c r="F11" s="5" t="s">
        <v>11</v>
      </c>
      <c r="I11" s="6">
        <v>46101</v>
      </c>
      <c r="J11" s="6">
        <v>46107</v>
      </c>
      <c r="K11" s="8">
        <f t="shared" si="0"/>
        <v>6</v>
      </c>
      <c r="L11" s="7" t="s">
        <v>133</v>
      </c>
    </row>
    <row r="12" spans="1:13" x14ac:dyDescent="0.3">
      <c r="A12" s="4" t="s">
        <v>100</v>
      </c>
      <c r="B12" s="5" t="s">
        <v>96</v>
      </c>
      <c r="E12" s="5" t="s">
        <v>15</v>
      </c>
      <c r="F12" s="5" t="s">
        <v>11</v>
      </c>
      <c r="I12" s="6">
        <v>46107</v>
      </c>
      <c r="J12" s="6">
        <v>46116</v>
      </c>
      <c r="K12" s="8">
        <f t="shared" si="0"/>
        <v>9</v>
      </c>
      <c r="L12" s="7" t="s">
        <v>133</v>
      </c>
    </row>
    <row r="13" spans="1:13" x14ac:dyDescent="0.3">
      <c r="A13" s="4" t="s">
        <v>113</v>
      </c>
      <c r="B13" s="5" t="s">
        <v>114</v>
      </c>
      <c r="E13" s="5" t="s">
        <v>17</v>
      </c>
      <c r="F13" s="5" t="s">
        <v>11</v>
      </c>
      <c r="I13" s="6">
        <v>46117</v>
      </c>
      <c r="J13" s="6">
        <v>46117</v>
      </c>
      <c r="K13" s="8">
        <f t="shared" si="0"/>
        <v>1</v>
      </c>
      <c r="L13" s="7" t="s">
        <v>138</v>
      </c>
    </row>
    <row r="14" spans="1:13" ht="28.8" x14ac:dyDescent="0.3">
      <c r="A14" s="4" t="s">
        <v>127</v>
      </c>
      <c r="B14" s="5" t="s">
        <v>184</v>
      </c>
      <c r="E14" s="5" t="s">
        <v>15</v>
      </c>
      <c r="F14" s="5" t="s">
        <v>11</v>
      </c>
      <c r="I14" s="6">
        <v>46182</v>
      </c>
      <c r="J14" s="6">
        <v>46182</v>
      </c>
      <c r="K14" s="8">
        <f t="shared" si="0"/>
        <v>1</v>
      </c>
      <c r="L14" s="7" t="s">
        <v>139</v>
      </c>
      <c r="M14" s="11" t="s">
        <v>185</v>
      </c>
    </row>
    <row r="15" spans="1:13" x14ac:dyDescent="0.3">
      <c r="A15" s="4" t="s">
        <v>83</v>
      </c>
      <c r="B15" s="5" t="s">
        <v>84</v>
      </c>
      <c r="E15" s="5" t="s">
        <v>17</v>
      </c>
      <c r="F15" s="5" t="s">
        <v>11</v>
      </c>
      <c r="I15" s="6">
        <v>46045</v>
      </c>
      <c r="J15" s="6">
        <v>46045</v>
      </c>
      <c r="K15" s="8">
        <f t="shared" si="0"/>
        <v>1</v>
      </c>
      <c r="L15" s="7" t="s">
        <v>134</v>
      </c>
    </row>
    <row r="16" spans="1:13" x14ac:dyDescent="0.3">
      <c r="A16" s="4" t="s">
        <v>91</v>
      </c>
      <c r="B16" s="5" t="s">
        <v>92</v>
      </c>
      <c r="E16" s="5" t="s">
        <v>16</v>
      </c>
      <c r="F16" s="5" t="s">
        <v>11</v>
      </c>
      <c r="I16" s="6">
        <v>46058</v>
      </c>
      <c r="K16" s="8" t="str">
        <f t="shared" si="0"/>
        <v/>
      </c>
      <c r="L16" s="7" t="s">
        <v>140</v>
      </c>
    </row>
    <row r="17" spans="1:13" x14ac:dyDescent="0.3">
      <c r="A17" s="4" t="s">
        <v>51</v>
      </c>
      <c r="B17" s="5" t="s">
        <v>52</v>
      </c>
      <c r="C17" s="4" t="s">
        <v>51</v>
      </c>
      <c r="D17" s="5">
        <v>1</v>
      </c>
      <c r="E17" s="5" t="s">
        <v>15</v>
      </c>
      <c r="F17" s="5" t="s">
        <v>11</v>
      </c>
      <c r="I17" s="6">
        <v>46118</v>
      </c>
      <c r="J17" s="6">
        <v>46121</v>
      </c>
      <c r="K17" s="8">
        <f t="shared" si="0"/>
        <v>3</v>
      </c>
      <c r="L17" s="7" t="s">
        <v>133</v>
      </c>
    </row>
    <row r="18" spans="1:13" x14ac:dyDescent="0.3">
      <c r="A18" s="4" t="s">
        <v>120</v>
      </c>
      <c r="B18" s="5" t="s">
        <v>52</v>
      </c>
      <c r="C18" s="4" t="s">
        <v>51</v>
      </c>
      <c r="D18" s="5">
        <v>2</v>
      </c>
      <c r="E18" s="5" t="s">
        <v>15</v>
      </c>
      <c r="F18" s="5" t="s">
        <v>11</v>
      </c>
      <c r="I18" s="6">
        <v>46122</v>
      </c>
      <c r="J18" s="6">
        <v>46125</v>
      </c>
      <c r="K18" s="8">
        <f t="shared" si="0"/>
        <v>3</v>
      </c>
      <c r="L18" s="7" t="s">
        <v>133</v>
      </c>
    </row>
    <row r="19" spans="1:13" x14ac:dyDescent="0.3">
      <c r="A19" s="4" t="s">
        <v>117</v>
      </c>
      <c r="B19" s="5" t="s">
        <v>182</v>
      </c>
      <c r="E19" s="5" t="s">
        <v>17</v>
      </c>
      <c r="F19" s="5" t="s">
        <v>11</v>
      </c>
      <c r="I19" s="6">
        <v>46117</v>
      </c>
      <c r="J19" s="6">
        <v>46117</v>
      </c>
      <c r="K19" s="8">
        <f t="shared" si="0"/>
        <v>1</v>
      </c>
      <c r="L19" s="7" t="s">
        <v>134</v>
      </c>
      <c r="M19" s="11" t="s">
        <v>181</v>
      </c>
    </row>
    <row r="20" spans="1:13" ht="43.2" x14ac:dyDescent="0.3">
      <c r="A20" s="4" t="s">
        <v>68</v>
      </c>
      <c r="B20" s="5" t="s">
        <v>69</v>
      </c>
      <c r="E20" s="5" t="s">
        <v>14</v>
      </c>
      <c r="F20" s="5" t="s">
        <v>11</v>
      </c>
      <c r="I20" s="6">
        <v>45888</v>
      </c>
      <c r="K20" s="8" t="str">
        <f t="shared" si="0"/>
        <v/>
      </c>
      <c r="L20" s="7" t="s">
        <v>140</v>
      </c>
    </row>
    <row r="21" spans="1:13" x14ac:dyDescent="0.3">
      <c r="A21" s="4" t="s">
        <v>118</v>
      </c>
      <c r="B21" s="5" t="s">
        <v>119</v>
      </c>
      <c r="C21" s="4" t="s">
        <v>155</v>
      </c>
      <c r="D21" s="5">
        <v>1</v>
      </c>
      <c r="E21" s="5" t="s">
        <v>16</v>
      </c>
      <c r="F21" s="5" t="s">
        <v>11</v>
      </c>
      <c r="I21" s="6">
        <v>46118</v>
      </c>
      <c r="K21" s="8" t="str">
        <f t="shared" si="0"/>
        <v/>
      </c>
      <c r="L21" s="7" t="s">
        <v>140</v>
      </c>
    </row>
    <row r="22" spans="1:13" x14ac:dyDescent="0.3">
      <c r="A22" s="4" t="s">
        <v>101</v>
      </c>
      <c r="B22" s="5" t="s">
        <v>102</v>
      </c>
      <c r="C22" s="4" t="s">
        <v>153</v>
      </c>
      <c r="D22" s="5">
        <v>4</v>
      </c>
      <c r="E22" s="5" t="s">
        <v>13</v>
      </c>
      <c r="F22" s="5" t="s">
        <v>11</v>
      </c>
      <c r="K22" s="8" t="str">
        <f t="shared" si="0"/>
        <v/>
      </c>
    </row>
    <row r="23" spans="1:13" ht="28.8" x14ac:dyDescent="0.3">
      <c r="A23" s="4" t="s">
        <v>61</v>
      </c>
      <c r="B23" s="5" t="s">
        <v>62</v>
      </c>
      <c r="C23" s="4" t="s">
        <v>61</v>
      </c>
      <c r="D23" s="5">
        <v>1</v>
      </c>
      <c r="E23" s="5" t="s">
        <v>13</v>
      </c>
      <c r="F23" s="5" t="s">
        <v>11</v>
      </c>
      <c r="K23" s="8" t="str">
        <f t="shared" si="0"/>
        <v/>
      </c>
    </row>
    <row r="24" spans="1:13" ht="28.8" x14ac:dyDescent="0.3">
      <c r="A24" s="4" t="s">
        <v>162</v>
      </c>
      <c r="B24" s="5" t="s">
        <v>62</v>
      </c>
      <c r="C24" s="4" t="s">
        <v>61</v>
      </c>
      <c r="D24" s="5">
        <v>2</v>
      </c>
      <c r="E24" s="5" t="s">
        <v>13</v>
      </c>
      <c r="F24" s="5" t="s">
        <v>11</v>
      </c>
      <c r="K24" s="8"/>
    </row>
    <row r="25" spans="1:13" ht="28.8" x14ac:dyDescent="0.3">
      <c r="A25" s="4" t="s">
        <v>163</v>
      </c>
      <c r="B25" s="5" t="s">
        <v>62</v>
      </c>
      <c r="C25" s="4" t="s">
        <v>61</v>
      </c>
      <c r="D25" s="5">
        <v>3</v>
      </c>
      <c r="E25" s="5" t="s">
        <v>13</v>
      </c>
      <c r="F25" s="5" t="s">
        <v>11</v>
      </c>
      <c r="K25" s="8"/>
    </row>
    <row r="26" spans="1:13" x14ac:dyDescent="0.3">
      <c r="A26" s="4" t="s">
        <v>89</v>
      </c>
      <c r="B26" s="5" t="s">
        <v>90</v>
      </c>
      <c r="E26" s="5" t="s">
        <v>17</v>
      </c>
      <c r="F26" s="5" t="s">
        <v>11</v>
      </c>
      <c r="I26" s="6">
        <v>46059</v>
      </c>
      <c r="J26" s="6">
        <v>46061</v>
      </c>
      <c r="K26" s="8">
        <f t="shared" ref="K26:K36" si="1">IF(OR(I26="",J26=""),"",MAX(1,J26-I26))</f>
        <v>2</v>
      </c>
      <c r="L26" s="7" t="s">
        <v>141</v>
      </c>
    </row>
    <row r="27" spans="1:13" x14ac:dyDescent="0.3">
      <c r="A27" s="4" t="s">
        <v>37</v>
      </c>
      <c r="B27" s="5" t="s">
        <v>38</v>
      </c>
      <c r="E27" s="5" t="s">
        <v>17</v>
      </c>
      <c r="F27" s="5" t="s">
        <v>11</v>
      </c>
      <c r="I27" s="6">
        <v>45811</v>
      </c>
      <c r="J27" s="6">
        <v>45812</v>
      </c>
      <c r="K27" s="8">
        <f t="shared" si="1"/>
        <v>1</v>
      </c>
      <c r="L27" s="7" t="s">
        <v>137</v>
      </c>
    </row>
    <row r="28" spans="1:13" x14ac:dyDescent="0.3">
      <c r="A28" s="4" t="s">
        <v>72</v>
      </c>
      <c r="B28" s="5" t="s">
        <v>73</v>
      </c>
      <c r="C28" s="4" t="s">
        <v>151</v>
      </c>
      <c r="D28" s="5">
        <v>4</v>
      </c>
      <c r="E28" s="5" t="s">
        <v>13</v>
      </c>
      <c r="F28" s="5" t="s">
        <v>11</v>
      </c>
      <c r="K28" s="8" t="str">
        <f t="shared" si="1"/>
        <v/>
      </c>
    </row>
    <row r="29" spans="1:13" x14ac:dyDescent="0.3">
      <c r="A29" s="4" t="s">
        <v>70</v>
      </c>
      <c r="B29" s="5" t="s">
        <v>73</v>
      </c>
      <c r="C29" s="4" t="s">
        <v>151</v>
      </c>
      <c r="D29" s="5">
        <v>2</v>
      </c>
      <c r="E29" s="5" t="s">
        <v>13</v>
      </c>
      <c r="F29" s="5" t="s">
        <v>11</v>
      </c>
      <c r="K29" s="8" t="str">
        <f t="shared" si="1"/>
        <v/>
      </c>
    </row>
    <row r="30" spans="1:13" x14ac:dyDescent="0.3">
      <c r="A30" s="4" t="s">
        <v>71</v>
      </c>
      <c r="B30" s="5" t="s">
        <v>73</v>
      </c>
      <c r="C30" s="4" t="s">
        <v>151</v>
      </c>
      <c r="D30" s="5">
        <v>3</v>
      </c>
      <c r="E30" s="5" t="s">
        <v>13</v>
      </c>
      <c r="F30" s="5" t="s">
        <v>11</v>
      </c>
      <c r="K30" s="8" t="str">
        <f t="shared" si="1"/>
        <v/>
      </c>
    </row>
    <row r="31" spans="1:13" ht="28.8" x14ac:dyDescent="0.3">
      <c r="A31" s="4" t="s">
        <v>105</v>
      </c>
      <c r="B31" s="5" t="s">
        <v>106</v>
      </c>
      <c r="E31" s="5" t="s">
        <v>17</v>
      </c>
      <c r="F31" s="5" t="s">
        <v>11</v>
      </c>
      <c r="I31" s="6">
        <v>46074</v>
      </c>
      <c r="J31" s="6">
        <v>46091</v>
      </c>
      <c r="K31" s="8">
        <f t="shared" si="1"/>
        <v>17</v>
      </c>
      <c r="L31" s="7" t="s">
        <v>142</v>
      </c>
    </row>
    <row r="32" spans="1:13" x14ac:dyDescent="0.3">
      <c r="A32" s="4" t="s">
        <v>35</v>
      </c>
      <c r="B32" s="5" t="s">
        <v>36</v>
      </c>
      <c r="E32" s="5" t="s">
        <v>17</v>
      </c>
      <c r="F32" s="5" t="s">
        <v>11</v>
      </c>
      <c r="I32" s="6">
        <v>45810</v>
      </c>
      <c r="J32" s="6">
        <v>45811</v>
      </c>
      <c r="K32" s="8">
        <f t="shared" si="1"/>
        <v>1</v>
      </c>
      <c r="L32" s="7" t="s">
        <v>138</v>
      </c>
    </row>
    <row r="33" spans="1:13" x14ac:dyDescent="0.3">
      <c r="A33" s="4" t="s">
        <v>124</v>
      </c>
      <c r="B33" s="5" t="s">
        <v>36</v>
      </c>
      <c r="E33" s="5" t="s">
        <v>15</v>
      </c>
      <c r="F33" s="5" t="s">
        <v>11</v>
      </c>
      <c r="I33" s="6">
        <v>46157</v>
      </c>
      <c r="J33" s="6">
        <v>46176</v>
      </c>
      <c r="K33" s="8">
        <f t="shared" si="1"/>
        <v>19</v>
      </c>
      <c r="L33" s="7" t="s">
        <v>133</v>
      </c>
    </row>
    <row r="34" spans="1:13" x14ac:dyDescent="0.3">
      <c r="A34" s="4" t="s">
        <v>103</v>
      </c>
      <c r="B34" s="5" t="s">
        <v>104</v>
      </c>
      <c r="E34" s="5" t="s">
        <v>17</v>
      </c>
      <c r="F34" s="5" t="s">
        <v>11</v>
      </c>
      <c r="I34" s="6">
        <v>46073</v>
      </c>
      <c r="J34" s="6">
        <v>46091</v>
      </c>
      <c r="K34" s="8">
        <f t="shared" si="1"/>
        <v>18</v>
      </c>
      <c r="L34" s="7" t="s">
        <v>134</v>
      </c>
    </row>
    <row r="35" spans="1:13" x14ac:dyDescent="0.3">
      <c r="A35" s="4" t="s">
        <v>152</v>
      </c>
      <c r="B35" s="5" t="s">
        <v>86</v>
      </c>
      <c r="E35" s="5" t="s">
        <v>17</v>
      </c>
      <c r="F35" s="5" t="s">
        <v>11</v>
      </c>
      <c r="I35" s="6">
        <v>46051</v>
      </c>
      <c r="J35" s="6">
        <v>46061</v>
      </c>
      <c r="K35" s="8">
        <f t="shared" si="1"/>
        <v>10</v>
      </c>
      <c r="L35" s="7" t="s">
        <v>138</v>
      </c>
    </row>
    <row r="36" spans="1:13" x14ac:dyDescent="0.3">
      <c r="A36" s="4" t="s">
        <v>85</v>
      </c>
      <c r="B36" s="5" t="s">
        <v>172</v>
      </c>
      <c r="E36" s="5" t="s">
        <v>15</v>
      </c>
      <c r="F36" s="5" t="s">
        <v>11</v>
      </c>
      <c r="I36" s="6">
        <v>46051</v>
      </c>
      <c r="J36" s="6">
        <v>46064</v>
      </c>
      <c r="K36" s="8">
        <f t="shared" si="1"/>
        <v>13</v>
      </c>
      <c r="L36" s="7" t="s">
        <v>133</v>
      </c>
      <c r="M36" s="11" t="s">
        <v>186</v>
      </c>
    </row>
    <row r="37" spans="1:13" x14ac:dyDescent="0.3">
      <c r="A37" s="4" t="s">
        <v>171</v>
      </c>
      <c r="B37" s="5" t="s">
        <v>172</v>
      </c>
      <c r="E37" s="5" t="s">
        <v>14</v>
      </c>
      <c r="F37" s="5" t="s">
        <v>11</v>
      </c>
      <c r="I37" s="6">
        <v>46232</v>
      </c>
      <c r="K37" s="8"/>
      <c r="L37" s="7" t="s">
        <v>141</v>
      </c>
    </row>
    <row r="38" spans="1:13" x14ac:dyDescent="0.3">
      <c r="A38" s="4" t="s">
        <v>164</v>
      </c>
      <c r="B38" s="5" t="s">
        <v>132</v>
      </c>
      <c r="C38" s="4" t="s">
        <v>161</v>
      </c>
      <c r="D38" s="5">
        <v>1</v>
      </c>
      <c r="E38" s="5" t="s">
        <v>17</v>
      </c>
      <c r="F38" s="5" t="s">
        <v>11</v>
      </c>
      <c r="I38" s="6">
        <v>46249</v>
      </c>
      <c r="J38" s="6">
        <v>46249</v>
      </c>
      <c r="K38" s="8">
        <f t="shared" ref="K38:K69" si="2">IF(OR(I38="",J38=""),"",MAX(1,J38-I38))</f>
        <v>1</v>
      </c>
      <c r="L38" s="7" t="s">
        <v>142</v>
      </c>
    </row>
    <row r="39" spans="1:13" x14ac:dyDescent="0.3">
      <c r="A39" s="4" t="s">
        <v>55</v>
      </c>
      <c r="B39" s="5" t="s">
        <v>56</v>
      </c>
      <c r="E39" s="5" t="s">
        <v>13</v>
      </c>
      <c r="F39" s="5" t="s">
        <v>11</v>
      </c>
      <c r="K39" s="8" t="str">
        <f t="shared" si="2"/>
        <v/>
      </c>
    </row>
    <row r="40" spans="1:13" x14ac:dyDescent="0.3">
      <c r="A40" s="4" t="s">
        <v>25</v>
      </c>
      <c r="B40" s="5" t="s">
        <v>26</v>
      </c>
      <c r="E40" s="5" t="s">
        <v>15</v>
      </c>
      <c r="F40" s="5" t="s">
        <v>11</v>
      </c>
      <c r="I40" s="6">
        <v>45868</v>
      </c>
      <c r="J40" s="6">
        <v>45868</v>
      </c>
      <c r="K40" s="8">
        <f t="shared" si="2"/>
        <v>1</v>
      </c>
      <c r="L40" s="7" t="s">
        <v>135</v>
      </c>
    </row>
    <row r="41" spans="1:13" ht="57.6" x14ac:dyDescent="0.3">
      <c r="A41" s="4" t="s">
        <v>59</v>
      </c>
      <c r="B41" s="5" t="s">
        <v>60</v>
      </c>
      <c r="E41" s="5" t="s">
        <v>13</v>
      </c>
      <c r="F41" s="5" t="s">
        <v>11</v>
      </c>
      <c r="K41" s="8" t="str">
        <f t="shared" si="2"/>
        <v/>
      </c>
    </row>
    <row r="42" spans="1:13" x14ac:dyDescent="0.3">
      <c r="A42" s="5" t="s">
        <v>165</v>
      </c>
      <c r="B42" s="5" t="s">
        <v>166</v>
      </c>
      <c r="E42" s="5" t="s">
        <v>14</v>
      </c>
      <c r="F42" s="5" t="s">
        <v>11</v>
      </c>
      <c r="I42" s="6">
        <v>46248</v>
      </c>
      <c r="K42" s="8" t="str">
        <f t="shared" si="2"/>
        <v/>
      </c>
      <c r="L42" s="7" t="s">
        <v>141</v>
      </c>
    </row>
    <row r="43" spans="1:13" ht="28.8" x14ac:dyDescent="0.3">
      <c r="A43" s="4" t="s">
        <v>49</v>
      </c>
      <c r="B43" s="5" t="s">
        <v>50</v>
      </c>
      <c r="E43" s="5" t="s">
        <v>13</v>
      </c>
      <c r="F43" s="5" t="s">
        <v>11</v>
      </c>
      <c r="K43" s="8" t="str">
        <f t="shared" si="2"/>
        <v/>
      </c>
    </row>
    <row r="44" spans="1:13" ht="57.6" x14ac:dyDescent="0.3">
      <c r="A44" s="4" t="s">
        <v>66</v>
      </c>
      <c r="B44" s="5" t="s">
        <v>67</v>
      </c>
      <c r="E44" s="5" t="s">
        <v>13</v>
      </c>
      <c r="F44" s="5" t="s">
        <v>11</v>
      </c>
      <c r="K44" s="8" t="str">
        <f t="shared" si="2"/>
        <v/>
      </c>
    </row>
    <row r="45" spans="1:13" ht="28.8" x14ac:dyDescent="0.3">
      <c r="A45" s="4" t="s">
        <v>42</v>
      </c>
      <c r="B45" s="5" t="s">
        <v>43</v>
      </c>
      <c r="E45" s="5" t="s">
        <v>15</v>
      </c>
      <c r="F45" s="5" t="s">
        <v>11</v>
      </c>
      <c r="I45" s="6">
        <v>45880</v>
      </c>
      <c r="J45" s="6">
        <v>45886</v>
      </c>
      <c r="K45" s="8">
        <f t="shared" si="2"/>
        <v>6</v>
      </c>
      <c r="L45" s="7" t="s">
        <v>138</v>
      </c>
    </row>
    <row r="46" spans="1:13" ht="28.8" x14ac:dyDescent="0.3">
      <c r="A46" s="4" t="s">
        <v>93</v>
      </c>
      <c r="B46" s="5" t="s">
        <v>94</v>
      </c>
      <c r="E46" s="5" t="s">
        <v>15</v>
      </c>
      <c r="F46" s="5" t="s">
        <v>11</v>
      </c>
      <c r="I46" s="6">
        <v>46073</v>
      </c>
      <c r="J46" s="6">
        <v>46083</v>
      </c>
      <c r="K46" s="8">
        <f t="shared" si="2"/>
        <v>10</v>
      </c>
      <c r="L46" s="7" t="s">
        <v>133</v>
      </c>
    </row>
    <row r="47" spans="1:13" x14ac:dyDescent="0.3">
      <c r="A47" s="4" t="s">
        <v>40</v>
      </c>
      <c r="B47" s="5" t="s">
        <v>41</v>
      </c>
      <c r="E47" s="5" t="s">
        <v>15</v>
      </c>
      <c r="F47" s="5" t="s">
        <v>11</v>
      </c>
      <c r="I47" s="6">
        <v>45827</v>
      </c>
      <c r="J47" s="6">
        <v>45829</v>
      </c>
      <c r="K47" s="8">
        <f t="shared" si="2"/>
        <v>2</v>
      </c>
      <c r="L47" s="7" t="s">
        <v>139</v>
      </c>
    </row>
    <row r="48" spans="1:13" x14ac:dyDescent="0.3">
      <c r="A48" s="4" t="s">
        <v>111</v>
      </c>
      <c r="B48" s="5" t="s">
        <v>112</v>
      </c>
      <c r="E48" s="5" t="s">
        <v>15</v>
      </c>
      <c r="F48" s="5" t="s">
        <v>11</v>
      </c>
      <c r="I48" s="6">
        <v>46116</v>
      </c>
      <c r="J48" s="6">
        <v>46117</v>
      </c>
      <c r="K48" s="8">
        <f t="shared" si="2"/>
        <v>1</v>
      </c>
      <c r="L48" s="7" t="s">
        <v>133</v>
      </c>
    </row>
    <row r="49" spans="1:12" ht="28.8" x14ac:dyDescent="0.3">
      <c r="A49" s="4" t="s">
        <v>23</v>
      </c>
      <c r="B49" s="5" t="s">
        <v>24</v>
      </c>
      <c r="E49" s="5" t="s">
        <v>13</v>
      </c>
      <c r="F49" s="5" t="s">
        <v>11</v>
      </c>
      <c r="K49" s="8" t="str">
        <f t="shared" si="2"/>
        <v/>
      </c>
    </row>
    <row r="50" spans="1:12" ht="28.8" x14ac:dyDescent="0.3">
      <c r="A50" s="4" t="s">
        <v>39</v>
      </c>
      <c r="B50" s="5" t="s">
        <v>145</v>
      </c>
      <c r="C50" s="4" t="s">
        <v>148</v>
      </c>
      <c r="D50" s="5">
        <v>1</v>
      </c>
      <c r="E50" s="5" t="s">
        <v>15</v>
      </c>
      <c r="F50" s="5" t="s">
        <v>12</v>
      </c>
      <c r="I50" s="6">
        <v>45858</v>
      </c>
      <c r="J50" s="6">
        <v>45858</v>
      </c>
      <c r="K50" s="8">
        <f t="shared" si="2"/>
        <v>1</v>
      </c>
      <c r="L50" s="7" t="s">
        <v>134</v>
      </c>
    </row>
    <row r="51" spans="1:12" x14ac:dyDescent="0.3">
      <c r="A51" s="4" t="s">
        <v>107</v>
      </c>
      <c r="B51" s="5" t="s">
        <v>108</v>
      </c>
      <c r="E51" s="5" t="s">
        <v>15</v>
      </c>
      <c r="F51" s="5" t="s">
        <v>11</v>
      </c>
      <c r="I51" s="6">
        <v>46055</v>
      </c>
      <c r="J51" s="6">
        <v>46091</v>
      </c>
      <c r="K51" s="8">
        <f t="shared" si="2"/>
        <v>36</v>
      </c>
      <c r="L51" s="7" t="s">
        <v>133</v>
      </c>
    </row>
    <row r="52" spans="1:12" x14ac:dyDescent="0.3">
      <c r="A52" s="4" t="s">
        <v>156</v>
      </c>
      <c r="B52" s="5" t="s">
        <v>125</v>
      </c>
      <c r="C52" s="4" t="s">
        <v>157</v>
      </c>
      <c r="D52" s="5">
        <v>1</v>
      </c>
      <c r="E52" s="5" t="s">
        <v>15</v>
      </c>
      <c r="F52" s="5" t="s">
        <v>11</v>
      </c>
      <c r="I52" s="6">
        <v>46170</v>
      </c>
      <c r="J52" s="6">
        <v>46176</v>
      </c>
      <c r="K52" s="8">
        <f t="shared" si="2"/>
        <v>6</v>
      </c>
      <c r="L52" s="7" t="s">
        <v>133</v>
      </c>
    </row>
    <row r="53" spans="1:12" x14ac:dyDescent="0.3">
      <c r="A53" s="4" t="s">
        <v>126</v>
      </c>
      <c r="B53" s="5" t="s">
        <v>125</v>
      </c>
      <c r="C53" s="4" t="s">
        <v>157</v>
      </c>
      <c r="D53" s="5">
        <v>2</v>
      </c>
      <c r="E53" s="5" t="s">
        <v>14</v>
      </c>
      <c r="F53" s="5" t="s">
        <v>11</v>
      </c>
      <c r="I53" s="6">
        <v>46175</v>
      </c>
      <c r="K53" s="8" t="str">
        <f t="shared" si="2"/>
        <v/>
      </c>
      <c r="L53" s="7" t="s">
        <v>140</v>
      </c>
    </row>
    <row r="54" spans="1:12" x14ac:dyDescent="0.3">
      <c r="A54" s="4" t="s">
        <v>158</v>
      </c>
      <c r="B54" s="5" t="s">
        <v>125</v>
      </c>
      <c r="C54" s="4" t="s">
        <v>157</v>
      </c>
      <c r="D54" s="5">
        <v>3</v>
      </c>
      <c r="E54" s="5" t="s">
        <v>13</v>
      </c>
      <c r="F54" s="5" t="s">
        <v>11</v>
      </c>
      <c r="K54" s="8" t="str">
        <f t="shared" si="2"/>
        <v/>
      </c>
    </row>
    <row r="55" spans="1:12" x14ac:dyDescent="0.3">
      <c r="A55" s="4" t="s">
        <v>32</v>
      </c>
      <c r="B55" s="5" t="s">
        <v>33</v>
      </c>
      <c r="E55" s="5" t="s">
        <v>15</v>
      </c>
      <c r="F55" s="5" t="s">
        <v>11</v>
      </c>
      <c r="I55" s="6">
        <v>45811</v>
      </c>
      <c r="J55" s="6">
        <v>45880</v>
      </c>
      <c r="K55" s="8">
        <f t="shared" si="2"/>
        <v>69</v>
      </c>
      <c r="L55" s="7" t="s">
        <v>133</v>
      </c>
    </row>
    <row r="56" spans="1:12" x14ac:dyDescent="0.3">
      <c r="A56" s="4" t="s">
        <v>34</v>
      </c>
      <c r="B56" s="5" t="s">
        <v>33</v>
      </c>
      <c r="E56" s="5" t="s">
        <v>15</v>
      </c>
      <c r="F56" s="5" t="s">
        <v>11</v>
      </c>
      <c r="I56" s="6">
        <v>45886</v>
      </c>
      <c r="J56" s="6">
        <v>45888</v>
      </c>
      <c r="K56" s="8">
        <f t="shared" si="2"/>
        <v>2</v>
      </c>
      <c r="L56" s="7" t="s">
        <v>133</v>
      </c>
    </row>
    <row r="57" spans="1:12" x14ac:dyDescent="0.3">
      <c r="A57" s="4" t="s">
        <v>48</v>
      </c>
      <c r="B57" s="5" t="s">
        <v>33</v>
      </c>
      <c r="E57" s="5" t="s">
        <v>15</v>
      </c>
      <c r="F57" s="5" t="s">
        <v>11</v>
      </c>
      <c r="I57" s="6">
        <v>45888</v>
      </c>
      <c r="J57" s="6">
        <v>45890</v>
      </c>
      <c r="K57" s="8">
        <f t="shared" si="2"/>
        <v>2</v>
      </c>
      <c r="L57" s="7" t="s">
        <v>133</v>
      </c>
    </row>
    <row r="58" spans="1:12" x14ac:dyDescent="0.3">
      <c r="A58" s="4" t="s">
        <v>27</v>
      </c>
      <c r="B58" s="5" t="s">
        <v>28</v>
      </c>
      <c r="C58" s="4" t="s">
        <v>27</v>
      </c>
      <c r="D58" s="5">
        <v>1</v>
      </c>
      <c r="E58" s="5" t="s">
        <v>15</v>
      </c>
      <c r="F58" s="5" t="s">
        <v>11</v>
      </c>
      <c r="I58" s="6">
        <v>45852</v>
      </c>
      <c r="J58" s="6">
        <v>45858</v>
      </c>
      <c r="K58" s="8">
        <f t="shared" si="2"/>
        <v>6</v>
      </c>
      <c r="L58" s="7" t="s">
        <v>133</v>
      </c>
    </row>
    <row r="59" spans="1:12" x14ac:dyDescent="0.3">
      <c r="A59" s="4" t="s">
        <v>82</v>
      </c>
      <c r="B59" s="5" t="s">
        <v>28</v>
      </c>
      <c r="C59" s="4" t="s">
        <v>27</v>
      </c>
      <c r="D59" s="5">
        <v>2</v>
      </c>
      <c r="E59" s="5" t="s">
        <v>15</v>
      </c>
      <c r="F59" s="5" t="s">
        <v>11</v>
      </c>
      <c r="I59" s="6">
        <v>46046</v>
      </c>
      <c r="J59" s="6">
        <v>46050</v>
      </c>
      <c r="K59" s="8">
        <f t="shared" si="2"/>
        <v>4</v>
      </c>
      <c r="L59" s="7" t="s">
        <v>133</v>
      </c>
    </row>
    <row r="60" spans="1:12" x14ac:dyDescent="0.3">
      <c r="A60" s="4" t="s">
        <v>87</v>
      </c>
      <c r="B60" s="5" t="s">
        <v>88</v>
      </c>
      <c r="C60" s="4" t="s">
        <v>153</v>
      </c>
      <c r="D60" s="5">
        <v>6</v>
      </c>
      <c r="E60" s="5" t="s">
        <v>17</v>
      </c>
      <c r="F60" s="5" t="s">
        <v>11</v>
      </c>
      <c r="I60" s="6">
        <v>46058</v>
      </c>
      <c r="J60" s="6">
        <v>46061</v>
      </c>
      <c r="K60" s="8">
        <f t="shared" si="2"/>
        <v>3</v>
      </c>
      <c r="L60" s="7" t="s">
        <v>134</v>
      </c>
    </row>
    <row r="61" spans="1:12" x14ac:dyDescent="0.3">
      <c r="A61" s="4" t="s">
        <v>97</v>
      </c>
      <c r="B61" s="5" t="s">
        <v>88</v>
      </c>
      <c r="C61" s="4" t="s">
        <v>153</v>
      </c>
      <c r="D61" s="5">
        <v>5</v>
      </c>
      <c r="E61" s="5" t="s">
        <v>15</v>
      </c>
      <c r="F61" s="5" t="s">
        <v>11</v>
      </c>
      <c r="I61" s="6">
        <v>45968</v>
      </c>
      <c r="J61" s="6">
        <v>46083</v>
      </c>
      <c r="K61" s="8">
        <f t="shared" si="2"/>
        <v>115</v>
      </c>
      <c r="L61" s="7" t="s">
        <v>135</v>
      </c>
    </row>
    <row r="62" spans="1:12" x14ac:dyDescent="0.3">
      <c r="A62" s="4" t="s">
        <v>80</v>
      </c>
      <c r="B62" s="5" t="s">
        <v>81</v>
      </c>
      <c r="E62" s="5" t="s">
        <v>15</v>
      </c>
      <c r="F62" s="5" t="s">
        <v>11</v>
      </c>
      <c r="I62" s="6">
        <v>46040</v>
      </c>
      <c r="J62" s="6">
        <v>46045</v>
      </c>
      <c r="K62" s="8">
        <f t="shared" si="2"/>
        <v>5</v>
      </c>
      <c r="L62" s="7" t="s">
        <v>135</v>
      </c>
    </row>
    <row r="63" spans="1:12" x14ac:dyDescent="0.3">
      <c r="A63" s="4" t="s">
        <v>44</v>
      </c>
      <c r="B63" s="5" t="s">
        <v>45</v>
      </c>
      <c r="C63" s="4" t="s">
        <v>149</v>
      </c>
      <c r="D63" s="5">
        <v>5</v>
      </c>
      <c r="E63" s="5" t="s">
        <v>15</v>
      </c>
      <c r="F63" s="5" t="s">
        <v>11</v>
      </c>
      <c r="I63" s="6">
        <v>45883</v>
      </c>
      <c r="J63" s="6">
        <v>45887</v>
      </c>
      <c r="K63" s="8">
        <f t="shared" si="2"/>
        <v>4</v>
      </c>
      <c r="L63" s="7" t="s">
        <v>133</v>
      </c>
    </row>
    <row r="64" spans="1:12" x14ac:dyDescent="0.3">
      <c r="A64" s="4" t="s">
        <v>121</v>
      </c>
      <c r="B64" s="5" t="s">
        <v>122</v>
      </c>
      <c r="C64" s="4" t="s">
        <v>121</v>
      </c>
      <c r="D64" s="5">
        <v>1</v>
      </c>
      <c r="E64" s="5" t="s">
        <v>15</v>
      </c>
      <c r="F64" s="5" t="s">
        <v>11</v>
      </c>
      <c r="I64" s="6">
        <v>46126</v>
      </c>
      <c r="J64" s="6">
        <v>46136</v>
      </c>
      <c r="K64" s="8">
        <f t="shared" si="2"/>
        <v>10</v>
      </c>
      <c r="L64" s="7" t="s">
        <v>133</v>
      </c>
    </row>
    <row r="65" spans="1:13" x14ac:dyDescent="0.3">
      <c r="A65" s="4" t="s">
        <v>123</v>
      </c>
      <c r="B65" s="5" t="s">
        <v>122</v>
      </c>
      <c r="C65" s="4" t="s">
        <v>121</v>
      </c>
      <c r="D65" s="5">
        <v>2</v>
      </c>
      <c r="E65" s="5" t="s">
        <v>15</v>
      </c>
      <c r="F65" s="5" t="s">
        <v>11</v>
      </c>
      <c r="I65" s="6">
        <v>46132</v>
      </c>
      <c r="J65" s="6">
        <v>46136</v>
      </c>
      <c r="K65" s="8">
        <f t="shared" si="2"/>
        <v>4</v>
      </c>
      <c r="L65" s="7" t="s">
        <v>135</v>
      </c>
    </row>
    <row r="66" spans="1:13" x14ac:dyDescent="0.3">
      <c r="A66" s="4" t="s">
        <v>174</v>
      </c>
      <c r="B66" s="5" t="s">
        <v>173</v>
      </c>
      <c r="E66" s="5" t="s">
        <v>13</v>
      </c>
      <c r="F66" s="5" t="s">
        <v>11</v>
      </c>
      <c r="K66" s="8" t="str">
        <f t="shared" si="2"/>
        <v/>
      </c>
    </row>
    <row r="67" spans="1:13" x14ac:dyDescent="0.3">
      <c r="A67" s="4" t="s">
        <v>57</v>
      </c>
      <c r="B67" s="5" t="s">
        <v>58</v>
      </c>
      <c r="E67" s="5" t="s">
        <v>13</v>
      </c>
      <c r="F67" s="5" t="s">
        <v>11</v>
      </c>
      <c r="K67" s="8" t="str">
        <f t="shared" si="2"/>
        <v/>
      </c>
    </row>
    <row r="68" spans="1:13" x14ac:dyDescent="0.3">
      <c r="A68" s="4" t="s">
        <v>18</v>
      </c>
      <c r="B68" s="5" t="s">
        <v>183</v>
      </c>
      <c r="E68" s="5" t="s">
        <v>15</v>
      </c>
      <c r="F68" s="5" t="s">
        <v>11</v>
      </c>
      <c r="I68" s="6">
        <v>45873</v>
      </c>
      <c r="J68" s="6">
        <v>45876</v>
      </c>
      <c r="K68" s="8">
        <f t="shared" si="2"/>
        <v>3</v>
      </c>
      <c r="L68" s="7" t="s">
        <v>133</v>
      </c>
      <c r="M68" s="11" t="s">
        <v>180</v>
      </c>
    </row>
    <row r="69" spans="1:13" x14ac:dyDescent="0.3">
      <c r="A69" s="4" t="s">
        <v>76</v>
      </c>
      <c r="B69" s="5" t="s">
        <v>77</v>
      </c>
      <c r="E69" s="5" t="s">
        <v>15</v>
      </c>
      <c r="F69" s="5" t="s">
        <v>11</v>
      </c>
      <c r="I69" s="6">
        <v>46032</v>
      </c>
      <c r="J69" s="6">
        <v>46035</v>
      </c>
      <c r="K69" s="8">
        <f t="shared" si="2"/>
        <v>3</v>
      </c>
      <c r="L69" s="7" t="s">
        <v>141</v>
      </c>
    </row>
    <row r="70" spans="1:13" ht="28.8" x14ac:dyDescent="0.3">
      <c r="A70" s="4" t="s">
        <v>63</v>
      </c>
      <c r="B70" s="5" t="s">
        <v>64</v>
      </c>
      <c r="C70" s="4" t="s">
        <v>150</v>
      </c>
      <c r="D70" s="5">
        <v>1</v>
      </c>
      <c r="E70" s="5" t="s">
        <v>14</v>
      </c>
      <c r="F70" s="5" t="s">
        <v>11</v>
      </c>
      <c r="I70" s="6">
        <v>46050</v>
      </c>
      <c r="K70" s="8" t="str">
        <f t="shared" ref="K70:K101" si="3">IF(OR(I70="",J70=""),"",MAX(1,J70-I70))</f>
        <v/>
      </c>
      <c r="L70" s="7" t="s">
        <v>140</v>
      </c>
    </row>
    <row r="71" spans="1:13" ht="28.8" x14ac:dyDescent="0.3">
      <c r="A71" s="4" t="s">
        <v>65</v>
      </c>
      <c r="B71" s="5" t="s">
        <v>64</v>
      </c>
      <c r="C71" s="4" t="s">
        <v>150</v>
      </c>
      <c r="D71" s="5">
        <v>2</v>
      </c>
      <c r="E71" s="5" t="s">
        <v>13</v>
      </c>
      <c r="F71" s="5" t="s">
        <v>11</v>
      </c>
      <c r="K71" s="8" t="str">
        <f t="shared" si="3"/>
        <v/>
      </c>
    </row>
    <row r="72" spans="1:13" x14ac:dyDescent="0.3">
      <c r="A72" s="4" t="s">
        <v>53</v>
      </c>
      <c r="B72" s="5" t="s">
        <v>54</v>
      </c>
      <c r="E72" s="5" t="s">
        <v>13</v>
      </c>
      <c r="F72" s="5" t="s">
        <v>11</v>
      </c>
      <c r="K72" s="8" t="str">
        <f t="shared" si="3"/>
        <v/>
      </c>
    </row>
    <row r="73" spans="1:13" x14ac:dyDescent="0.3">
      <c r="A73" s="4" t="s">
        <v>78</v>
      </c>
      <c r="B73" s="5" t="s">
        <v>79</v>
      </c>
      <c r="E73" s="5" t="s">
        <v>17</v>
      </c>
      <c r="F73" s="5" t="s">
        <v>11</v>
      </c>
      <c r="I73" s="6">
        <v>46036</v>
      </c>
      <c r="J73" s="6">
        <v>46037</v>
      </c>
      <c r="K73" s="8">
        <f t="shared" si="3"/>
        <v>1</v>
      </c>
      <c r="L73" s="7" t="s">
        <v>138</v>
      </c>
    </row>
    <row r="74" spans="1:13" x14ac:dyDescent="0.3">
      <c r="A74" s="4" t="s">
        <v>109</v>
      </c>
      <c r="B74" s="5" t="s">
        <v>110</v>
      </c>
      <c r="E74" s="5" t="s">
        <v>15</v>
      </c>
      <c r="F74" s="5" t="s">
        <v>11</v>
      </c>
      <c r="I74" s="6">
        <v>46062</v>
      </c>
      <c r="J74" s="6">
        <v>46091</v>
      </c>
      <c r="K74" s="8">
        <f t="shared" si="3"/>
        <v>29</v>
      </c>
      <c r="L74" s="7" t="s">
        <v>141</v>
      </c>
    </row>
    <row r="75" spans="1:13" x14ac:dyDescent="0.3">
      <c r="A75" s="4" t="s">
        <v>19</v>
      </c>
      <c r="B75" s="5" t="s">
        <v>20</v>
      </c>
      <c r="E75" s="5" t="s">
        <v>17</v>
      </c>
      <c r="F75" s="5" t="s">
        <v>11</v>
      </c>
      <c r="I75" s="6">
        <v>45876</v>
      </c>
      <c r="J75" s="6">
        <v>45876</v>
      </c>
      <c r="K75" s="8">
        <f t="shared" si="3"/>
        <v>1</v>
      </c>
      <c r="L75" s="7" t="s">
        <v>134</v>
      </c>
    </row>
    <row r="76" spans="1:13" x14ac:dyDescent="0.3">
      <c r="A76" s="4" t="s">
        <v>46</v>
      </c>
      <c r="B76" s="5" t="s">
        <v>47</v>
      </c>
      <c r="E76" s="5" t="s">
        <v>15</v>
      </c>
      <c r="F76" s="5" t="s">
        <v>11</v>
      </c>
      <c r="I76" s="6">
        <v>45886</v>
      </c>
      <c r="J76" s="6">
        <v>45886</v>
      </c>
      <c r="K76" s="8">
        <f t="shared" si="3"/>
        <v>1</v>
      </c>
      <c r="L76" s="7" t="s">
        <v>135</v>
      </c>
    </row>
    <row r="77" spans="1:13" x14ac:dyDescent="0.3">
      <c r="A77" s="4" t="s">
        <v>147</v>
      </c>
      <c r="B77" s="5" t="s">
        <v>31</v>
      </c>
      <c r="E77" s="5" t="s">
        <v>15</v>
      </c>
      <c r="F77" s="5" t="s">
        <v>11</v>
      </c>
      <c r="I77" s="6">
        <v>45880</v>
      </c>
      <c r="J77" s="6">
        <v>45880</v>
      </c>
      <c r="K77" s="8">
        <f t="shared" si="3"/>
        <v>1</v>
      </c>
      <c r="L77" s="7" t="s">
        <v>137</v>
      </c>
    </row>
    <row r="78" spans="1:13" x14ac:dyDescent="0.3">
      <c r="A78" s="4" t="s">
        <v>115</v>
      </c>
      <c r="B78" s="5" t="s">
        <v>116</v>
      </c>
      <c r="C78" s="4" t="s">
        <v>154</v>
      </c>
      <c r="D78" s="5">
        <v>1</v>
      </c>
      <c r="E78" s="5" t="s">
        <v>17</v>
      </c>
      <c r="F78" s="5" t="s">
        <v>11</v>
      </c>
      <c r="I78" s="6">
        <v>46117</v>
      </c>
      <c r="J78" s="6">
        <v>46117</v>
      </c>
      <c r="K78" s="8">
        <f t="shared" si="3"/>
        <v>1</v>
      </c>
      <c r="L78" s="7" t="s">
        <v>137</v>
      </c>
    </row>
    <row r="79" spans="1:13" x14ac:dyDescent="0.3">
      <c r="A79" s="4" t="s">
        <v>176</v>
      </c>
      <c r="B79" s="5" t="s">
        <v>116</v>
      </c>
      <c r="C79" s="4" t="s">
        <v>175</v>
      </c>
      <c r="D79" s="5">
        <v>1</v>
      </c>
      <c r="E79" s="5" t="s">
        <v>15</v>
      </c>
      <c r="F79" s="5" t="s">
        <v>11</v>
      </c>
      <c r="I79" s="6">
        <v>46237</v>
      </c>
      <c r="J79" s="6">
        <v>46241</v>
      </c>
      <c r="K79" s="8">
        <f t="shared" si="3"/>
        <v>4</v>
      </c>
      <c r="L79" s="7" t="s">
        <v>135</v>
      </c>
    </row>
    <row r="80" spans="1:13" x14ac:dyDescent="0.3">
      <c r="A80" s="4" t="s">
        <v>177</v>
      </c>
      <c r="B80" s="5" t="s">
        <v>116</v>
      </c>
      <c r="C80" s="4" t="s">
        <v>175</v>
      </c>
      <c r="D80" s="5">
        <v>2</v>
      </c>
      <c r="E80" s="5" t="s">
        <v>14</v>
      </c>
      <c r="F80" s="5" t="s">
        <v>11</v>
      </c>
      <c r="K80" s="8" t="str">
        <f t="shared" si="3"/>
        <v/>
      </c>
    </row>
    <row r="81" spans="1:11" x14ac:dyDescent="0.3">
      <c r="A81" s="4" t="s">
        <v>178</v>
      </c>
      <c r="B81" s="5" t="s">
        <v>116</v>
      </c>
      <c r="C81" s="4" t="s">
        <v>175</v>
      </c>
      <c r="D81" s="5">
        <v>3</v>
      </c>
      <c r="E81" s="5" t="s">
        <v>13</v>
      </c>
      <c r="F81" s="5" t="s">
        <v>11</v>
      </c>
      <c r="K81" s="8" t="str">
        <f t="shared" si="3"/>
        <v/>
      </c>
    </row>
    <row r="82" spans="1:11" x14ac:dyDescent="0.3">
      <c r="K82" s="8" t="str">
        <f t="shared" si="3"/>
        <v/>
      </c>
    </row>
    <row r="83" spans="1:11" x14ac:dyDescent="0.3">
      <c r="K83" s="8" t="str">
        <f t="shared" si="3"/>
        <v/>
      </c>
    </row>
    <row r="84" spans="1:11" x14ac:dyDescent="0.3">
      <c r="K84" s="8" t="str">
        <f t="shared" si="3"/>
        <v/>
      </c>
    </row>
    <row r="85" spans="1:11" x14ac:dyDescent="0.3">
      <c r="K85" s="8" t="str">
        <f t="shared" si="3"/>
        <v/>
      </c>
    </row>
    <row r="86" spans="1:11" x14ac:dyDescent="0.3">
      <c r="K86" s="8" t="str">
        <f t="shared" si="3"/>
        <v/>
      </c>
    </row>
    <row r="87" spans="1:11" x14ac:dyDescent="0.3">
      <c r="K87" s="8" t="str">
        <f t="shared" si="3"/>
        <v/>
      </c>
    </row>
    <row r="88" spans="1:11" x14ac:dyDescent="0.3">
      <c r="K88" s="8" t="str">
        <f t="shared" si="3"/>
        <v/>
      </c>
    </row>
    <row r="89" spans="1:11" x14ac:dyDescent="0.3">
      <c r="K89" s="8" t="str">
        <f t="shared" si="3"/>
        <v/>
      </c>
    </row>
    <row r="90" spans="1:11" x14ac:dyDescent="0.3">
      <c r="K90" s="8" t="str">
        <f t="shared" si="3"/>
        <v/>
      </c>
    </row>
    <row r="91" spans="1:11" x14ac:dyDescent="0.3">
      <c r="K91" s="8" t="str">
        <f t="shared" si="3"/>
        <v/>
      </c>
    </row>
    <row r="92" spans="1:11" x14ac:dyDescent="0.3">
      <c r="K92" s="8" t="str">
        <f t="shared" si="3"/>
        <v/>
      </c>
    </row>
    <row r="93" spans="1:11" x14ac:dyDescent="0.3">
      <c r="K93" s="8" t="str">
        <f t="shared" si="3"/>
        <v/>
      </c>
    </row>
    <row r="94" spans="1:11" x14ac:dyDescent="0.3">
      <c r="K94" s="8" t="str">
        <f t="shared" si="3"/>
        <v/>
      </c>
    </row>
    <row r="95" spans="1:11" x14ac:dyDescent="0.3">
      <c r="K95" s="8" t="str">
        <f t="shared" si="3"/>
        <v/>
      </c>
    </row>
    <row r="96" spans="1:11" x14ac:dyDescent="0.3">
      <c r="K96" s="8" t="str">
        <f t="shared" si="3"/>
        <v/>
      </c>
    </row>
    <row r="97" spans="11:11" x14ac:dyDescent="0.3">
      <c r="K97" s="8" t="str">
        <f t="shared" si="3"/>
        <v/>
      </c>
    </row>
    <row r="98" spans="11:11" x14ac:dyDescent="0.3">
      <c r="K98" s="8" t="str">
        <f t="shared" si="3"/>
        <v/>
      </c>
    </row>
    <row r="99" spans="11:11" x14ac:dyDescent="0.3">
      <c r="K99" s="8" t="str">
        <f t="shared" si="3"/>
        <v/>
      </c>
    </row>
    <row r="100" spans="11:11" x14ac:dyDescent="0.3">
      <c r="K100" s="8" t="str">
        <f t="shared" si="3"/>
        <v/>
      </c>
    </row>
    <row r="101" spans="11:11" x14ac:dyDescent="0.3">
      <c r="K101" s="8" t="str">
        <f t="shared" si="3"/>
        <v/>
      </c>
    </row>
    <row r="102" spans="11:11" x14ac:dyDescent="0.3">
      <c r="K102" s="8" t="str">
        <f t="shared" ref="K102:K133" si="4">IF(OR(I102="",J102=""),"",MAX(1,J102-I102))</f>
        <v/>
      </c>
    </row>
    <row r="103" spans="11:11" x14ac:dyDescent="0.3">
      <c r="K103" s="8" t="str">
        <f t="shared" si="4"/>
        <v/>
      </c>
    </row>
    <row r="104" spans="11:11" x14ac:dyDescent="0.3">
      <c r="K104" s="8" t="str">
        <f t="shared" si="4"/>
        <v/>
      </c>
    </row>
    <row r="105" spans="11:11" x14ac:dyDescent="0.3">
      <c r="K105" s="8" t="str">
        <f t="shared" si="4"/>
        <v/>
      </c>
    </row>
    <row r="106" spans="11:11" x14ac:dyDescent="0.3">
      <c r="K106" s="8" t="str">
        <f t="shared" si="4"/>
        <v/>
      </c>
    </row>
    <row r="107" spans="11:11" x14ac:dyDescent="0.3">
      <c r="K107" s="8" t="str">
        <f t="shared" si="4"/>
        <v/>
      </c>
    </row>
    <row r="108" spans="11:11" x14ac:dyDescent="0.3">
      <c r="K108" s="8" t="str">
        <f t="shared" si="4"/>
        <v/>
      </c>
    </row>
    <row r="109" spans="11:11" x14ac:dyDescent="0.3">
      <c r="K109" s="8" t="str">
        <f t="shared" si="4"/>
        <v/>
      </c>
    </row>
    <row r="110" spans="11:11" x14ac:dyDescent="0.3">
      <c r="K110" s="8" t="str">
        <f t="shared" si="4"/>
        <v/>
      </c>
    </row>
    <row r="111" spans="11:11" x14ac:dyDescent="0.3">
      <c r="K111" s="8" t="str">
        <f t="shared" si="4"/>
        <v/>
      </c>
    </row>
    <row r="112" spans="11:11" x14ac:dyDescent="0.3">
      <c r="K112" s="8" t="str">
        <f t="shared" si="4"/>
        <v/>
      </c>
    </row>
    <row r="113" spans="11:11" x14ac:dyDescent="0.3">
      <c r="K113" s="8" t="str">
        <f t="shared" si="4"/>
        <v/>
      </c>
    </row>
    <row r="114" spans="11:11" x14ac:dyDescent="0.3">
      <c r="K114" s="8" t="str">
        <f t="shared" si="4"/>
        <v/>
      </c>
    </row>
    <row r="115" spans="11:11" x14ac:dyDescent="0.3">
      <c r="K115" s="8" t="str">
        <f t="shared" si="4"/>
        <v/>
      </c>
    </row>
    <row r="116" spans="11:11" x14ac:dyDescent="0.3">
      <c r="K116" s="8" t="str">
        <f t="shared" si="4"/>
        <v/>
      </c>
    </row>
    <row r="117" spans="11:11" x14ac:dyDescent="0.3">
      <c r="K117" s="8" t="str">
        <f t="shared" si="4"/>
        <v/>
      </c>
    </row>
  </sheetData>
  <autoFilter ref="A1:M1" xr:uid="{00000000-0001-0000-0000-000000000000}">
    <sortState xmlns:xlrd2="http://schemas.microsoft.com/office/spreadsheetml/2017/richdata2" ref="A2:M117">
      <sortCondition ref="B1"/>
    </sortState>
  </autoFilter>
  <conditionalFormatting sqref="A1:A1048576">
    <cfRule type="duplicateValues" dxfId="1" priority="2"/>
  </conditionalFormatting>
  <conditionalFormatting sqref="C2">
    <cfRule type="duplicateValues" dxfId="0" priority="1"/>
  </conditionalFormatting>
  <dataValidations count="4">
    <dataValidation type="custom" allowBlank="1" showInputMessage="1" showErrorMessage="1" sqref="K1:K7 K24:K1048576 K9:K12 K14:K22" xr:uid="{73299B13-AD7C-4223-B38C-B0BD44BB3CFF}">
      <formula1>IF(OR(I2="",J2=""),"",MAX(1,J2-I2))</formula1>
    </dataValidation>
    <dataValidation type="custom" allowBlank="1" showInputMessage="1" showErrorMessage="1" sqref="K8" xr:uid="{2DCF9E62-299D-489A-B5FA-E29C1991312C}">
      <formula1>IF(OR(I42="",J42=""),"",MAX(1,J42-I42))</formula1>
    </dataValidation>
    <dataValidation type="custom" allowBlank="1" showInputMessage="1" showErrorMessage="1" sqref="K23" xr:uid="{E50F4C14-F762-4629-9408-B166CC566769}">
      <formula1>IF(OR(I64="",J64=""),"",MAX(1,J64-I64))</formula1>
    </dataValidation>
    <dataValidation type="custom" allowBlank="1" showInputMessage="1" showErrorMessage="1" sqref="K13" xr:uid="{5794354D-F8A4-40C1-95AB-D3ED5CCEE949}">
      <formula1>IF(OR(I21="",J21=""),"",MAX(1,J21-I21))</formula1>
    </dataValidation>
  </dataValidations>
  <hyperlinks>
    <hyperlink ref="M68" r:id="rId1" xr:uid="{C3FFDEC3-2381-4D4B-86F6-47AAD1EA8321}"/>
    <hyperlink ref="M19" r:id="rId2" xr:uid="{1D850BE3-BBB1-4364-8FD1-1AADDBDE1F77}"/>
    <hyperlink ref="M14" r:id="rId3" xr:uid="{A5604E78-24E2-43A0-934C-D7E88B7F348B}"/>
    <hyperlink ref="M36" r:id="rId4" xr:uid="{2DAADE0C-D4B1-4280-B466-34E7B8149718}"/>
    <hyperlink ref="M2" r:id="rId5" xr:uid="{A5267FFD-6FE2-4723-AA8A-F5A18D629D66}"/>
    <hyperlink ref="M3" r:id="rId6" xr:uid="{89365E57-7994-478E-88DD-BE57EA44CF06}"/>
    <hyperlink ref="M4" r:id="rId7" xr:uid="{EF2B7824-30D8-4720-8CEF-992205752FD6}"/>
    <hyperlink ref="M5" r:id="rId8" xr:uid="{E69EA257-EEFA-42D2-A5CB-E141D49FC6F3}"/>
    <hyperlink ref="M6" r:id="rId9" xr:uid="{F55836DA-3626-4A39-BF4E-B3DF8694BF2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264D3D-8F60-4FEB-9570-B013881A56CD}">
          <x14:formula1>
            <xm:f>Лист2!$A$2:$A$4</xm:f>
          </x14:formula1>
          <xm:sqref>F1:F1048576</xm:sqref>
        </x14:dataValidation>
        <x14:dataValidation type="list" allowBlank="1" showInputMessage="1" showErrorMessage="1" xr:uid="{E990D593-4A29-4334-95E0-A40D22C66797}">
          <x14:formula1>
            <xm:f>Лист2!$B$2:$B$6</xm:f>
          </x14:formula1>
          <xm:sqref>E1:E1048576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4550F-3A33-4A6D-8FE6-D64385EF4A8E}">
  <dimension ref="A1:B6"/>
  <sheetViews>
    <sheetView workbookViewId="0">
      <selection activeCell="H10" sqref="H10"/>
    </sheetView>
  </sheetViews>
  <sheetFormatPr defaultRowHeight="14.4" x14ac:dyDescent="0.3"/>
  <cols>
    <col min="1" max="1" width="11.109375" bestFit="1" customWidth="1"/>
    <col min="2" max="2" width="14.5546875" bestFit="1" customWidth="1"/>
  </cols>
  <sheetData>
    <row r="1" spans="1:2" x14ac:dyDescent="0.3">
      <c r="A1" s="9" t="s">
        <v>9</v>
      </c>
      <c r="B1" s="9" t="s">
        <v>2</v>
      </c>
    </row>
    <row r="2" spans="1:2" x14ac:dyDescent="0.3">
      <c r="A2" t="s">
        <v>10</v>
      </c>
      <c r="B2" t="s">
        <v>13</v>
      </c>
    </row>
    <row r="3" spans="1:2" x14ac:dyDescent="0.3">
      <c r="A3" t="s">
        <v>11</v>
      </c>
      <c r="B3" t="s">
        <v>14</v>
      </c>
    </row>
    <row r="4" spans="1:2" x14ac:dyDescent="0.3">
      <c r="A4" t="s">
        <v>12</v>
      </c>
      <c r="B4" t="s">
        <v>15</v>
      </c>
    </row>
    <row r="5" spans="1:2" x14ac:dyDescent="0.3">
      <c r="B5" t="s">
        <v>16</v>
      </c>
    </row>
    <row r="6" spans="1:2" x14ac:dyDescent="0.3">
      <c r="B6" t="s"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Анастасия Авдеева</dc:creator>
  <cp:lastModifiedBy>Анастасия Авдеева</cp:lastModifiedBy>
  <dcterms:created xsi:type="dcterms:W3CDTF">2015-06-05T18:19:34Z</dcterms:created>
  <dcterms:modified xsi:type="dcterms:W3CDTF">2026-08-16T21:00:53Z</dcterms:modified>
</cp:coreProperties>
</file>